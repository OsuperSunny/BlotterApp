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sunda\Downloads\"/>
    </mc:Choice>
  </mc:AlternateContent>
  <xr:revisionPtr revIDLastSave="0" documentId="13_ncr:1_{EF5226E8-331D-46CD-840F-F712ADAC7BE3}" xr6:coauthVersionLast="47" xr6:coauthVersionMax="47" xr10:uidLastSave="{00000000-0000-0000-0000-000000000000}"/>
  <bookViews>
    <workbookView xWindow="735" yWindow="735" windowWidth="15375" windowHeight="7785" activeTab="1" xr2:uid="{00000000-000D-0000-FFFF-FFFF00000000}"/>
  </bookViews>
  <sheets>
    <sheet name="bfm82C0" sheetId="1" r:id="rId1"/>
    <sheet name="22-07-27 TRADE BLOTTER TEST" sheetId="2" r:id="rId2"/>
  </sheets>
  <externalReferences>
    <externalReference r:id="rId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Wu, Caitlyn</author>
  </authors>
  <commentList>
    <comment ref="D16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Wu, Caitlyn:</t>
        </r>
        <r>
          <rPr>
            <sz val="9"/>
            <color indexed="81"/>
            <rFont val="Tahoma"/>
            <charset val="1"/>
          </rPr>
          <t xml:space="preserve">
The total issue amount of the Security</t>
        </r>
      </text>
    </comment>
  </commentList>
</comments>
</file>

<file path=xl/sharedStrings.xml><?xml version="1.0" encoding="utf-8"?>
<sst xmlns="http://schemas.openxmlformats.org/spreadsheetml/2006/main" count="113" uniqueCount="93">
  <si>
    <t>BLOT Download For User 26323905</t>
  </si>
  <si>
    <t>Block Status</t>
  </si>
  <si>
    <t>Alloc Status</t>
  </si>
  <si>
    <t>Side</t>
  </si>
  <si>
    <t>Qty (M)</t>
  </si>
  <si>
    <t>Price</t>
  </si>
  <si>
    <t>Customer</t>
  </si>
  <si>
    <t>Security</t>
  </si>
  <si>
    <t>Seq#</t>
  </si>
  <si>
    <t>BrkrName</t>
  </si>
  <si>
    <t>App</t>
  </si>
  <si>
    <t>Rcvd Time</t>
  </si>
  <si>
    <t>Workflow</t>
  </si>
  <si>
    <t>ReferenceID</t>
  </si>
  <si>
    <t>AsOfDate</t>
  </si>
  <si>
    <t>Net</t>
  </si>
  <si>
    <t>Sender</t>
  </si>
  <si>
    <t>Dest</t>
  </si>
  <si>
    <t>SetDt</t>
  </si>
  <si>
    <t>Accepted</t>
  </si>
  <si>
    <t>B</t>
  </si>
  <si>
    <t>NATIONAL WESTERN LIFE INSURANCE CO</t>
  </si>
  <si>
    <t>JPM 4.586 04/26/33</t>
  </si>
  <si>
    <t>JP Morgan</t>
  </si>
  <si>
    <t>EURO</t>
  </si>
  <si>
    <t>add bright green fields to BLOT</t>
  </si>
  <si>
    <t>tran type</t>
  </si>
  <si>
    <t>TRADE DATE</t>
  </si>
  <si>
    <t>SETTLEMENT DATE</t>
  </si>
  <si>
    <t>BROKER</t>
  </si>
  <si>
    <t>CUSIP #</t>
  </si>
  <si>
    <t>09261CAP3</t>
  </si>
  <si>
    <t>You are hereby authorized to transact the following trade for our account:</t>
  </si>
  <si>
    <t>Par type:</t>
  </si>
  <si>
    <t>Par Value           $</t>
  </si>
  <si>
    <t>Original Face   $</t>
  </si>
  <si>
    <t>Par Type</t>
  </si>
  <si>
    <t>bullet</t>
  </si>
  <si>
    <t>Description</t>
  </si>
  <si>
    <t>Blackrock DLF IX CLO (E tranche)</t>
  </si>
  <si>
    <t>sinking fund</t>
  </si>
  <si>
    <t>Coupon</t>
  </si>
  <si>
    <t>%</t>
  </si>
  <si>
    <t>Maturity</t>
  </si>
  <si>
    <t>Coupon Type</t>
  </si>
  <si>
    <t>Variable</t>
  </si>
  <si>
    <t>inflation protected</t>
  </si>
  <si>
    <t>Price                  $</t>
  </si>
  <si>
    <t>Expected Maturity</t>
  </si>
  <si>
    <t>add io</t>
  </si>
  <si>
    <t>Yield to Maturity</t>
  </si>
  <si>
    <t>S/B YTW</t>
  </si>
  <si>
    <t>(Treasury</t>
  </si>
  <si>
    <t>+</t>
  </si>
  <si>
    <t>Spread</t>
  </si>
  <si>
    <t>convertible</t>
  </si>
  <si>
    <t>Principal            $</t>
  </si>
  <si>
    <t>FORMULA?</t>
  </si>
  <si>
    <t>3ml</t>
  </si>
  <si>
    <t>NOT NECESSARY FOR TRADE TKT</t>
  </si>
  <si>
    <t>callable</t>
  </si>
  <si>
    <t>Interest              $</t>
  </si>
  <si>
    <t>(Days</t>
  </si>
  <si>
    <t>) = Settlement Day - Interest Start Day</t>
  </si>
  <si>
    <t>pass thru? Or whatever abs needs</t>
  </si>
  <si>
    <t>Net                    $</t>
  </si>
  <si>
    <t>P</t>
  </si>
  <si>
    <t>Status</t>
  </si>
  <si>
    <t>Brkr</t>
  </si>
  <si>
    <t>Trade Dt</t>
  </si>
  <si>
    <t>Cusip</t>
  </si>
  <si>
    <t>SecDesc</t>
  </si>
  <si>
    <t>Mat Dt</t>
  </si>
  <si>
    <t>Yield</t>
  </si>
  <si>
    <t>Yield (6dp)</t>
  </si>
  <si>
    <t>Yld Con</t>
  </si>
  <si>
    <t>Principal</t>
  </si>
  <si>
    <t>Acc Int</t>
  </si>
  <si>
    <t>Interest</t>
  </si>
  <si>
    <t>Dlr Alias</t>
  </si>
  <si>
    <t>Ord/Inq</t>
  </si>
  <si>
    <t>ISIN</t>
  </si>
  <si>
    <t>UserName</t>
  </si>
  <si>
    <t>Platform</t>
  </si>
  <si>
    <t>JP</t>
  </si>
  <si>
    <t>46647PDC7</t>
  </si>
  <si>
    <t>JPM</t>
  </si>
  <si>
    <t>Unknown</t>
  </si>
  <si>
    <t>US46647PDC77</t>
  </si>
  <si>
    <t>HOLLY MACKI</t>
  </si>
  <si>
    <t>VCON</t>
  </si>
  <si>
    <t xml:space="preserve"> </t>
  </si>
  <si>
    <t>6778888G8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</si>
</sst>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4"/>
      <color indexed="8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/>
    <xf numFmtId="14" fontId="18" fillId="33" borderId="10" xfId="0" applyNumberFormat="1" applyFont="1" applyFill="1" applyBorder="1"/>
    <xf numFmtId="0" fontId="18" fillId="33" borderId="0" xfId="0" applyFont="1" applyFill="1"/>
    <xf numFmtId="0" fontId="19" fillId="33" borderId="0" xfId="0" applyFont="1" applyFill="1" applyAlignment="1">
      <alignment horizontal="right"/>
    </xf>
    <xf numFmtId="0" fontId="18" fillId="0" borderId="0" xfId="0" applyFont="1" applyBorder="1"/>
    <xf numFmtId="0" fontId="18" fillId="0" borderId="0" xfId="0" applyFont="1"/>
    <xf numFmtId="0" fontId="18" fillId="33" borderId="11" xfId="0" applyFont="1" applyFill="1" applyBorder="1"/>
    <xf numFmtId="0" fontId="18" fillId="0" borderId="10" xfId="0" applyFont="1" applyFill="1" applyBorder="1"/>
    <xf numFmtId="0" fontId="19" fillId="0" borderId="0" xfId="0" applyFont="1" applyFill="1" applyAlignment="1">
      <alignment horizontal="right"/>
    </xf>
    <xf numFmtId="0" fontId="20" fillId="33" borderId="11" xfId="0" quotePrefix="1" applyFont="1" applyFill="1" applyBorder="1" applyAlignment="1">
      <alignment horizontal="right"/>
    </xf>
    <xf numFmtId="0" fontId="19" fillId="0" borderId="0" xfId="0" applyFont="1"/>
    <xf numFmtId="43" fontId="18" fillId="33" borderId="10" xfId="1" applyNumberFormat="1" applyFont="1" applyFill="1" applyBorder="1"/>
    <xf numFmtId="0" fontId="18" fillId="0" borderId="0" xfId="0" applyFont="1" applyFill="1"/>
    <xf numFmtId="0" fontId="18" fillId="34" borderId="0" xfId="0" applyFont="1" applyFill="1"/>
    <xf numFmtId="0" fontId="21" fillId="0" borderId="0" xfId="0" applyFont="1" applyAlignment="1">
      <alignment horizontal="right"/>
    </xf>
    <xf numFmtId="14" fontId="18" fillId="0" borderId="10" xfId="0" applyNumberFormat="1" applyFont="1" applyFill="1" applyBorder="1"/>
    <xf numFmtId="0" fontId="18" fillId="35" borderId="11" xfId="0" applyFont="1" applyFill="1" applyBorder="1"/>
    <xf numFmtId="0" fontId="18" fillId="34" borderId="10" xfId="0" applyFont="1" applyFill="1" applyBorder="1"/>
    <xf numFmtId="0" fontId="19" fillId="0" borderId="10" xfId="0" applyFont="1" applyFill="1" applyBorder="1"/>
    <xf numFmtId="164" fontId="18" fillId="35" borderId="10" xfId="0" applyNumberFormat="1" applyFont="1" applyFill="1" applyBorder="1"/>
    <xf numFmtId="14" fontId="18" fillId="35" borderId="10" xfId="0" applyNumberFormat="1" applyFont="1" applyFill="1" applyBorder="1"/>
    <xf numFmtId="49" fontId="18" fillId="0" borderId="0" xfId="0" applyNumberFormat="1" applyFont="1" applyAlignment="1">
      <alignment horizontal="center"/>
    </xf>
    <xf numFmtId="0" fontId="21" fillId="0" borderId="0" xfId="0" applyFont="1" applyFill="1" applyAlignment="1">
      <alignment horizontal="right"/>
    </xf>
    <xf numFmtId="0" fontId="18" fillId="34" borderId="11" xfId="0" applyFont="1" applyFill="1" applyBorder="1"/>
    <xf numFmtId="0" fontId="18" fillId="0" borderId="0" xfId="0" applyFont="1" applyFill="1" applyBorder="1"/>
    <xf numFmtId="165" fontId="18" fillId="33" borderId="11" xfId="0" applyNumberFormat="1" applyFont="1" applyFill="1" applyBorder="1"/>
    <xf numFmtId="0" fontId="21" fillId="0" borderId="0" xfId="0" applyFont="1" applyBorder="1" applyAlignment="1">
      <alignment horizontal="right"/>
    </xf>
    <xf numFmtId="0" fontId="18" fillId="0" borderId="11" xfId="0" applyFont="1" applyBorder="1"/>
    <xf numFmtId="0" fontId="18" fillId="0" borderId="0" xfId="0" applyFont="1" applyBorder="1" applyAlignment="1">
      <alignment horizontal="right"/>
    </xf>
    <xf numFmtId="164" fontId="18" fillId="33" borderId="11" xfId="0" applyNumberFormat="1" applyFont="1" applyFill="1" applyBorder="1"/>
    <xf numFmtId="0" fontId="19" fillId="0" borderId="0" xfId="0" applyFont="1" applyAlignment="1">
      <alignment horizontal="right"/>
    </xf>
    <xf numFmtId="2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right"/>
    </xf>
    <xf numFmtId="43" fontId="22" fillId="33" borderId="10" xfId="1" applyFont="1" applyFill="1" applyBorder="1"/>
    <xf numFmtId="0" fontId="18" fillId="33" borderId="10" xfId="0" applyFont="1" applyFill="1" applyBorder="1" applyAlignment="1">
      <alignment horizontal="right"/>
    </xf>
    <xf numFmtId="49" fontId="18" fillId="0" borderId="0" xfId="0" applyNumberFormat="1" applyFont="1"/>
    <xf numFmtId="39" fontId="22" fillId="35" borderId="10" xfId="1" applyNumberFormat="1" applyFont="1" applyFill="1" applyBorder="1"/>
    <xf numFmtId="0" fontId="18" fillId="0" borderId="12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243841</xdr:colOff>
      <xdr:row>6</xdr:row>
      <xdr:rowOff>-1</xdr:rowOff>
    </xdr:from>
    <xdr:to>
      <xdr:col>40</xdr:col>
      <xdr:colOff>137492</xdr:colOff>
      <xdr:row>44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3961" y="1097279"/>
          <a:ext cx="14524051" cy="81076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-07-27%20BB%20Trade%20Blotter%20fields%20to%20add%20from%20trade%20ticke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d Field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opLeftCell="A2" zoomScale="50" zoomScaleNormal="50" workbookViewId="0">
      <selection activeCell="D31" sqref="D31"/>
    </sheetView>
  </sheetViews>
  <sheetFormatPr defaultRowHeight="15" x14ac:dyDescent="0.25"/>
  <cols>
    <col min="1" max="1" width="92.140625" bestFit="1" customWidth="1"/>
    <col min="2" max="2" width="41.5703125" bestFit="1" customWidth="1"/>
    <col min="6" max="6" width="47.7109375" bestFit="1" customWidth="1"/>
    <col min="7" max="7" width="48.140625" bestFit="1" customWidth="1"/>
    <col min="8" max="8" width="14.5703125" bestFit="1" customWidth="1"/>
    <col min="10" max="10" width="7.28515625" bestFit="1" customWidth="1"/>
    <col min="11" max="11" width="11.42578125" bestFit="1" customWidth="1"/>
    <col min="12" max="12" width="10.140625" bestFit="1" customWidth="1"/>
    <col min="13" max="13" width="13" bestFit="1" customWidth="1"/>
    <col min="14" max="14" width="10.7109375" bestFit="1" customWidth="1"/>
    <col min="15" max="15" width="9.28515625" bestFit="1" customWidth="1"/>
  </cols>
  <sheetData>
    <row r="1" spans="1:18" x14ac:dyDescent="0.25">
      <c r="A1" t="s">
        <v>0</v>
      </c>
    </row>
    <row r="3" spans="1:1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</row>
    <row r="4" spans="1:18" x14ac:dyDescent="0.25">
      <c r="A4" t="s">
        <v>19</v>
      </c>
      <c r="C4" t="s">
        <v>20</v>
      </c>
      <c r="D4">
        <v>1</v>
      </c>
      <c r="E4">
        <v>100</v>
      </c>
      <c r="F4" t="s">
        <v>21</v>
      </c>
      <c r="G4" t="s">
        <v>22</v>
      </c>
      <c r="H4">
        <v>63395</v>
      </c>
      <c r="I4" t="s">
        <v>23</v>
      </c>
      <c r="J4" t="s">
        <v>24</v>
      </c>
      <c r="O4">
        <v>1008.28</v>
      </c>
      <c r="R4" s="1">
        <v>44743</v>
      </c>
    </row>
    <row r="11" spans="1:18" ht="19.5" x14ac:dyDescent="0.3">
      <c r="A11" s="2"/>
      <c r="B11" s="3" t="s">
        <v>25</v>
      </c>
      <c r="C11" s="3"/>
      <c r="D11" s="3"/>
      <c r="E11" s="3"/>
      <c r="F11" s="3"/>
      <c r="G11" s="3"/>
      <c r="H11" s="3"/>
      <c r="I11" s="3"/>
    </row>
    <row r="12" spans="1:18" ht="19.5" x14ac:dyDescent="0.3">
      <c r="A12" s="3"/>
      <c r="B12" s="2" t="s">
        <v>26</v>
      </c>
      <c r="C12" s="3"/>
      <c r="D12" s="3"/>
      <c r="E12" s="3"/>
      <c r="F12" s="3"/>
      <c r="G12" s="3"/>
      <c r="H12" s="3"/>
      <c r="I12" s="3"/>
    </row>
    <row r="13" spans="1:18" ht="19.5" x14ac:dyDescent="0.3">
      <c r="A13" s="4" t="s">
        <v>27</v>
      </c>
      <c r="B13" s="5">
        <v>44419</v>
      </c>
      <c r="C13" s="6"/>
      <c r="D13" s="6"/>
      <c r="E13" s="6"/>
      <c r="F13" s="6"/>
      <c r="G13" s="7" t="s">
        <v>28</v>
      </c>
      <c r="H13" s="5">
        <v>44419</v>
      </c>
      <c r="I13" s="8"/>
    </row>
    <row r="14" spans="1:18" ht="19.5" x14ac:dyDescent="0.3">
      <c r="A14" s="9" t="s">
        <v>29</v>
      </c>
      <c r="B14" s="10"/>
      <c r="C14" s="11"/>
      <c r="D14" s="11"/>
      <c r="E14" s="9"/>
      <c r="F14" s="9"/>
      <c r="G14" s="12" t="s">
        <v>30</v>
      </c>
      <c r="H14" s="13" t="s">
        <v>31</v>
      </c>
      <c r="I14" s="9"/>
    </row>
    <row r="15" spans="1:18" ht="19.5" x14ac:dyDescent="0.3">
      <c r="A15" s="9" t="s">
        <v>32</v>
      </c>
      <c r="B15" s="9"/>
      <c r="C15" s="9"/>
      <c r="D15" s="9"/>
      <c r="E15" s="9"/>
      <c r="F15" s="9"/>
      <c r="G15" s="14"/>
      <c r="H15" s="9"/>
      <c r="I15" s="9" t="s">
        <v>33</v>
      </c>
    </row>
    <row r="16" spans="1:18" ht="19.5" x14ac:dyDescent="0.3">
      <c r="A16" s="4" t="s">
        <v>34</v>
      </c>
      <c r="B16" s="15">
        <v>1133858.19</v>
      </c>
      <c r="C16" s="9"/>
      <c r="D16" s="16" t="s">
        <v>35</v>
      </c>
      <c r="E16" s="17"/>
      <c r="F16" s="9"/>
      <c r="G16" s="18" t="s">
        <v>36</v>
      </c>
      <c r="H16" s="19"/>
      <c r="I16" s="9" t="s">
        <v>37</v>
      </c>
    </row>
    <row r="17" spans="1:9" ht="19.5" x14ac:dyDescent="0.3">
      <c r="A17" s="4" t="s">
        <v>38</v>
      </c>
      <c r="B17" s="20" t="s">
        <v>39</v>
      </c>
      <c r="C17" s="21"/>
      <c r="D17" s="21"/>
      <c r="E17" s="11"/>
      <c r="F17" s="11"/>
      <c r="G17" s="22"/>
      <c r="H17" s="11"/>
      <c r="I17" s="9" t="s">
        <v>40</v>
      </c>
    </row>
    <row r="18" spans="1:9" ht="19.5" x14ac:dyDescent="0.3">
      <c r="A18" s="4" t="s">
        <v>41</v>
      </c>
      <c r="B18" s="23">
        <v>4.13</v>
      </c>
      <c r="C18" s="9" t="s">
        <v>42</v>
      </c>
      <c r="D18" s="12" t="s">
        <v>43</v>
      </c>
      <c r="E18" s="24">
        <v>47938</v>
      </c>
      <c r="F18" s="25"/>
      <c r="G18" s="26" t="s">
        <v>44</v>
      </c>
      <c r="H18" s="27" t="s">
        <v>45</v>
      </c>
      <c r="I18" s="28" t="s">
        <v>46</v>
      </c>
    </row>
    <row r="19" spans="1:9" ht="19.5" x14ac:dyDescent="0.3">
      <c r="A19" s="4" t="s">
        <v>47</v>
      </c>
      <c r="B19" s="29">
        <v>100</v>
      </c>
      <c r="C19" s="9"/>
      <c r="D19" s="30" t="s">
        <v>48</v>
      </c>
      <c r="E19" s="31"/>
      <c r="F19" s="8"/>
      <c r="G19" s="32"/>
      <c r="H19" s="28"/>
      <c r="I19" s="8" t="s">
        <v>49</v>
      </c>
    </row>
    <row r="20" spans="1:9" ht="19.5" x14ac:dyDescent="0.3">
      <c r="A20" s="4" t="s">
        <v>50</v>
      </c>
      <c r="B20" s="33" t="s">
        <v>66</v>
      </c>
      <c r="C20" s="9" t="s">
        <v>51</v>
      </c>
      <c r="D20" s="34" t="s">
        <v>52</v>
      </c>
      <c r="E20" s="35"/>
      <c r="F20" s="25" t="s">
        <v>53</v>
      </c>
      <c r="G20" s="34" t="s">
        <v>54</v>
      </c>
      <c r="H20" s="36">
        <v>400</v>
      </c>
      <c r="I20" s="28" t="s">
        <v>55</v>
      </c>
    </row>
    <row r="21" spans="1:9" ht="19.5" x14ac:dyDescent="0.3">
      <c r="A21" s="4" t="s">
        <v>56</v>
      </c>
      <c r="B21" s="15">
        <v>1133858.19</v>
      </c>
      <c r="C21" s="9" t="s">
        <v>57</v>
      </c>
      <c r="D21" s="9"/>
      <c r="E21" s="9" t="s">
        <v>58</v>
      </c>
      <c r="F21" s="9" t="s">
        <v>59</v>
      </c>
      <c r="G21" s="9"/>
      <c r="H21" s="9"/>
      <c r="I21" s="9" t="s">
        <v>60</v>
      </c>
    </row>
    <row r="22" spans="1:9" ht="19.5" x14ac:dyDescent="0.3">
      <c r="A22" s="14" t="s">
        <v>61</v>
      </c>
      <c r="B22" s="37">
        <v>0</v>
      </c>
      <c r="C22" s="9"/>
      <c r="D22" s="9"/>
      <c r="E22" s="3" t="s">
        <v>62</v>
      </c>
      <c r="F22" s="38"/>
      <c r="G22" s="39" t="s">
        <v>63</v>
      </c>
      <c r="H22" s="9"/>
      <c r="I22" s="9" t="s">
        <v>64</v>
      </c>
    </row>
    <row r="23" spans="1:9" ht="19.5" x14ac:dyDescent="0.3">
      <c r="A23" s="4" t="s">
        <v>65</v>
      </c>
      <c r="B23" s="40">
        <f>B21+B22</f>
        <v>1133858.19</v>
      </c>
      <c r="C23" s="9"/>
      <c r="D23" s="9"/>
      <c r="E23" s="9"/>
      <c r="F23" s="9"/>
      <c r="G23" s="9"/>
      <c r="H23" s="9"/>
      <c r="I23" s="9"/>
    </row>
    <row r="24" spans="1:9" ht="19.5" x14ac:dyDescent="0.3">
      <c r="A24" s="9"/>
      <c r="B24" s="9"/>
      <c r="C24" s="9"/>
      <c r="D24" s="9"/>
      <c r="E24" s="9"/>
      <c r="F24" s="9"/>
      <c r="G24" s="9"/>
      <c r="H24" s="9"/>
      <c r="I24" s="9"/>
    </row>
    <row r="25" spans="1:9" ht="19.5" x14ac:dyDescent="0.3">
      <c r="A25" s="9"/>
      <c r="B25" s="9"/>
      <c r="C25" s="9"/>
      <c r="D25" s="9"/>
      <c r="E25" s="9"/>
      <c r="F25" s="9"/>
      <c r="G25" s="9"/>
      <c r="H25" s="9"/>
      <c r="I25" s="9"/>
    </row>
    <row r="26" spans="1:9" ht="20.25" thickBot="1" x14ac:dyDescent="0.35">
      <c r="A26" s="41"/>
      <c r="B26" s="41"/>
      <c r="C26" s="41"/>
      <c r="D26" s="41"/>
      <c r="E26" s="41"/>
      <c r="F26" s="41"/>
      <c r="G26" s="41"/>
      <c r="H26" s="41"/>
      <c r="I26" s="41"/>
    </row>
    <row r="27" spans="1:9" ht="15.75" thickTop="1" x14ac:dyDescent="0.25"/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'[22-07-27 BB Trade Blotter fields to add from trade ticket.xlsb]Bond Fields'!#REF!</xm:f>
          </x14:formula1>
          <xm:sqref>B14</xm:sqref>
        </x14:dataValidation>
        <x14:dataValidation type="list" allowBlank="1" showInputMessage="1" showErrorMessage="1" xr:uid="{00000000-0002-0000-0000-000001000000}">
          <x14:formula1>
            <xm:f>'[22-07-27 BB Trade Blotter fields to add from trade ticket.xlsb]Bond Fields'!#REF!</xm:f>
          </x14:formula1>
          <xm:sqref>H18:H19 H16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8"/>
  <sheetViews>
    <sheetView tabSelected="1" workbookViewId="0">
      <selection activeCell="G8" sqref="G8"/>
    </sheetView>
  </sheetViews>
  <sheetFormatPr defaultRowHeight="15" x14ac:dyDescent="0.25"/>
  <cols>
    <col min="5" max="5" width="9.5703125" bestFit="1" customWidth="1"/>
    <col min="10" max="10" width="9.5703125" bestFit="1" customWidth="1"/>
  </cols>
  <sheetData>
    <row r="1" spans="1:29" x14ac:dyDescent="0.25">
      <c r="A1" t="s">
        <v>0</v>
      </c>
    </row>
    <row r="3" spans="1:29" x14ac:dyDescent="0.25">
      <c r="A3" t="s">
        <v>67</v>
      </c>
      <c r="B3" t="s">
        <v>9</v>
      </c>
      <c r="C3" t="s">
        <v>68</v>
      </c>
      <c r="D3" t="s">
        <v>3</v>
      </c>
      <c r="E3" t="s">
        <v>69</v>
      </c>
      <c r="F3" t="s">
        <v>18</v>
      </c>
      <c r="G3" t="s">
        <v>70</v>
      </c>
      <c r="H3" t="s">
        <v>71</v>
      </c>
      <c r="I3" t="s">
        <v>7</v>
      </c>
      <c r="J3" t="s">
        <v>72</v>
      </c>
      <c r="K3" t="s">
        <v>41</v>
      </c>
      <c r="L3" t="s">
        <v>4</v>
      </c>
      <c r="M3" t="s">
        <v>5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15</v>
      </c>
      <c r="U3" t="s">
        <v>6</v>
      </c>
      <c r="V3" t="s">
        <v>2</v>
      </c>
      <c r="W3" t="s">
        <v>79</v>
      </c>
      <c r="X3" t="s">
        <v>8</v>
      </c>
      <c r="Y3" t="s">
        <v>80</v>
      </c>
      <c r="Z3" t="s">
        <v>81</v>
      </c>
      <c r="AA3" t="s">
        <v>10</v>
      </c>
      <c r="AB3" t="s">
        <v>82</v>
      </c>
      <c r="AC3" t="s">
        <v>83</v>
      </c>
    </row>
    <row r="4" spans="1:29" x14ac:dyDescent="0.25">
      <c r="A4" t="s">
        <v>19</v>
      </c>
      <c r="B4" t="s">
        <v>23</v>
      </c>
      <c r="C4" t="s">
        <v>84</v>
      </c>
      <c r="D4" t="s">
        <v>20</v>
      </c>
      <c r="E4" s="1">
        <v>44741</v>
      </c>
      <c r="F4" s="1">
        <v>44743</v>
      </c>
      <c r="G4" t="s">
        <v>85</v>
      </c>
      <c r="H4" t="s">
        <v>22</v>
      </c>
      <c r="I4" t="s">
        <v>22</v>
      </c>
      <c r="J4" s="1">
        <v>12170</v>
      </c>
      <c r="K4">
        <v>4.5860000000000003</v>
      </c>
      <c r="L4">
        <v>1</v>
      </c>
      <c r="M4">
        <v>100</v>
      </c>
      <c r="N4">
        <v>4.5852000000000004</v>
      </c>
      <c r="O4">
        <v>4.5852360000000001</v>
      </c>
      <c r="Q4">
        <v>1000</v>
      </c>
      <c r="R4">
        <v>8.2799999999999994</v>
      </c>
      <c r="T4">
        <v>1008.28</v>
      </c>
      <c r="U4" t="s">
        <v>21</v>
      </c>
      <c r="W4" t="s">
        <v>86</v>
      </c>
      <c r="X4">
        <v>63395</v>
      </c>
      <c r="Y4" t="s">
        <v>87</v>
      </c>
      <c r="Z4" t="s">
        <v>88</v>
      </c>
      <c r="AA4" t="s">
        <v>24</v>
      </c>
      <c r="AB4" t="s">
        <v>89</v>
      </c>
      <c r="AC4" t="s">
        <v>90</v>
      </c>
    </row>
    <row r="5" spans="1:29" x14ac:dyDescent="0.25">
      <c r="G5" t="s">
        <v>92</v>
      </c>
    </row>
    <row r="28" spans="3:3" x14ac:dyDescent="0.25">
      <c r="C2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bfm82C0</vt:lpstr>
      <vt:lpstr>22-07-27 TRADE BLOTTER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Macki, Holly</dc:creator>
  <cp:lastModifiedBy>Oluwaseun Oladiran</cp:lastModifiedBy>
  <dcterms:created xsi:type="dcterms:W3CDTF">2022-07-27T22:52:00Z</dcterms:created>
  <dcterms:modified xsi:type="dcterms:W3CDTF">2022-08-16T09:09:31Z</dcterms:modified>
</cp:coreProperties>
</file>